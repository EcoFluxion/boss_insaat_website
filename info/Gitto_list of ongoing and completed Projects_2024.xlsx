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ŞİRKETLER\Boss\yeni gelen iş deneyim belge durumu\"/>
    </mc:Choice>
  </mc:AlternateContent>
  <xr:revisionPtr revIDLastSave="0" documentId="13_ncr:1_{5ACC56F5-637C-482A-9449-A55CB2B6C4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ngoing" sheetId="1" r:id="rId1"/>
    <sheet name="complet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1" l="1"/>
  <c r="R6" i="1"/>
  <c r="R7" i="1"/>
  <c r="R8" i="1"/>
  <c r="R9" i="1"/>
  <c r="R10" i="1"/>
  <c r="R11" i="1"/>
  <c r="R12" i="1"/>
  <c r="R13" i="1"/>
  <c r="R4" i="1"/>
  <c r="Q5" i="1"/>
  <c r="Q6" i="1"/>
  <c r="Q7" i="1"/>
  <c r="Q8" i="1"/>
  <c r="Q9" i="1"/>
  <c r="Q10" i="1"/>
  <c r="Q11" i="1"/>
  <c r="Q12" i="1"/>
  <c r="Q13" i="1"/>
  <c r="Q4" i="1"/>
  <c r="P5" i="1"/>
  <c r="P6" i="1"/>
  <c r="P7" i="1"/>
  <c r="P8" i="1"/>
  <c r="P9" i="1"/>
  <c r="P10" i="1"/>
  <c r="P11" i="1"/>
  <c r="P12" i="1"/>
  <c r="P13" i="1"/>
  <c r="P4" i="1"/>
  <c r="P4" i="2" l="1"/>
  <c r="N5" i="2"/>
  <c r="N6" i="2"/>
  <c r="N7" i="2"/>
  <c r="N8" i="2"/>
  <c r="N9" i="2"/>
  <c r="N10" i="2"/>
  <c r="N11" i="2"/>
  <c r="N12" i="2"/>
  <c r="N13" i="2"/>
  <c r="M5" i="2"/>
  <c r="M6" i="2"/>
  <c r="M7" i="2"/>
  <c r="M8" i="2"/>
  <c r="M9" i="2"/>
  <c r="M10" i="2"/>
  <c r="M11" i="2"/>
  <c r="M12" i="2"/>
  <c r="M13" i="2"/>
  <c r="M4" i="2"/>
  <c r="N4" i="2"/>
  <c r="Q4" i="2" s="1"/>
</calcChain>
</file>

<file path=xl/sharedStrings.xml><?xml version="1.0" encoding="utf-8"?>
<sst xmlns="http://schemas.openxmlformats.org/spreadsheetml/2006/main" count="148" uniqueCount="119">
  <si>
    <r>
      <rPr>
        <b/>
        <sz val="11.5"/>
        <rFont val="Calibri"/>
        <family val="2"/>
      </rPr>
      <t>GITTO COSTRUZIONI GENERALI NIGERIA LTD</t>
    </r>
  </si>
  <si>
    <r>
      <rPr>
        <b/>
        <sz val="11.5"/>
        <rFont val="Calibri"/>
        <family val="2"/>
      </rPr>
      <t>LIST OF ONGOING  PROJECTS</t>
    </r>
  </si>
  <si>
    <r>
      <rPr>
        <b/>
        <sz val="10"/>
        <rFont val="Calibri"/>
        <family val="2"/>
      </rPr>
      <t>No.</t>
    </r>
  </si>
  <si>
    <r>
      <rPr>
        <b/>
        <sz val="10"/>
        <rFont val="Calibri"/>
        <family val="2"/>
      </rPr>
      <t>PROJECT NAME</t>
    </r>
  </si>
  <si>
    <r>
      <rPr>
        <b/>
        <sz val="10"/>
        <rFont val="Calibri"/>
        <family val="2"/>
      </rPr>
      <t>SCOPE OF WORK</t>
    </r>
  </si>
  <si>
    <r>
      <rPr>
        <b/>
        <sz val="10"/>
        <rFont val="Calibri"/>
        <family val="2"/>
      </rPr>
      <t>CLIENT</t>
    </r>
  </si>
  <si>
    <r>
      <rPr>
        <b/>
        <sz val="10"/>
        <rFont val="Calibri"/>
        <family val="2"/>
      </rPr>
      <t>LOCATION</t>
    </r>
  </si>
  <si>
    <r>
      <rPr>
        <b/>
        <sz val="10"/>
        <rFont val="Calibri"/>
        <family val="2"/>
      </rPr>
      <t>Date of Award Original Contract</t>
    </r>
  </si>
  <si>
    <r>
      <rPr>
        <b/>
        <sz val="10"/>
        <rFont val="Calibri"/>
        <family val="2"/>
      </rPr>
      <t>Compl. Date</t>
    </r>
  </si>
  <si>
    <r>
      <rPr>
        <b/>
        <sz val="10"/>
        <rFont val="Calibri"/>
        <family val="2"/>
      </rPr>
      <t>Original Contract Amount NGN</t>
    </r>
  </si>
  <si>
    <r>
      <rPr>
        <b/>
        <sz val="10"/>
        <rFont val="Calibri"/>
        <family val="2"/>
      </rPr>
      <t>% Compl.</t>
    </r>
  </si>
  <si>
    <r>
      <rPr>
        <b/>
        <sz val="10"/>
        <rFont val="Calibri"/>
        <family val="2"/>
      </rPr>
      <t>Remarks</t>
    </r>
  </si>
  <si>
    <r>
      <rPr>
        <sz val="10"/>
        <rFont val="Calibri"/>
        <family val="2"/>
      </rPr>
      <t>Dualization of East-West Road Section IV Eket-Oron - Contract No. 5883</t>
    </r>
  </si>
  <si>
    <r>
      <rPr>
        <sz val="10"/>
        <rFont val="Calibri"/>
        <family val="2"/>
      </rPr>
      <t>Construction of 51-km double lane single carriageway road with 6-no. bridges with a total length of 550m.</t>
    </r>
  </si>
  <si>
    <r>
      <rPr>
        <sz val="10"/>
        <rFont val="Calibri"/>
        <family val="2"/>
      </rPr>
      <t>Federal Republic of Nigeria - Ministry of Works &amp; Housing</t>
    </r>
  </si>
  <si>
    <r>
      <rPr>
        <sz val="10"/>
        <rFont val="Calibri"/>
        <family val="2"/>
      </rPr>
      <t>Akwa Ibom State Nigeria</t>
    </r>
  </si>
  <si>
    <r>
      <rPr>
        <sz val="10"/>
        <rFont val="Calibri"/>
        <family val="2"/>
      </rPr>
      <t>sep-06</t>
    </r>
  </si>
  <si>
    <r>
      <rPr>
        <sz val="10"/>
        <rFont val="Calibri"/>
        <family val="2"/>
      </rPr>
      <t>aug-25</t>
    </r>
  </si>
  <si>
    <r>
      <rPr>
        <sz val="10"/>
        <rFont val="Calibri"/>
        <family val="2"/>
      </rPr>
      <t>on-going</t>
    </r>
  </si>
  <si>
    <r>
      <rPr>
        <sz val="10"/>
        <rFont val="Calibri"/>
        <family val="2"/>
      </rPr>
      <t>Dualization of Abuja-Abaji- Lokoja Highways Section IV: Koton-Karfe-Lokoja Road</t>
    </r>
  </si>
  <si>
    <r>
      <rPr>
        <sz val="10"/>
        <rFont val="Calibri"/>
        <family val="2"/>
      </rPr>
      <t>construction of a double lane single carriageway of 49.43km long with supporting lined drains and rehabilitation of the existing carriageway with construction of 7-No Bridges.</t>
    </r>
  </si>
  <si>
    <r>
      <rPr>
        <sz val="10"/>
        <rFont val="Calibri"/>
        <family val="2"/>
      </rPr>
      <t>Federal Republic of Nigeria - Ministry of Works Highways Dep.</t>
    </r>
  </si>
  <si>
    <r>
      <rPr>
        <sz val="10"/>
        <rFont val="Calibri"/>
        <family val="2"/>
      </rPr>
      <t>Kogi State Nigeria</t>
    </r>
  </si>
  <si>
    <r>
      <rPr>
        <sz val="10"/>
        <rFont val="Calibri"/>
        <family val="2"/>
      </rPr>
      <t>on-going with possible augmentation</t>
    </r>
  </si>
  <si>
    <r>
      <rPr>
        <sz val="10"/>
        <rFont val="Calibri"/>
        <family val="2"/>
      </rPr>
      <t>Completion of the Rehabilitation of Nassarawa- Loko Road</t>
    </r>
  </si>
  <si>
    <r>
      <rPr>
        <sz val="10"/>
        <rFont val="Calibri"/>
        <family val="2"/>
      </rPr>
      <t>Rehabilitation of existing single carriageway with associated drains and culverts.</t>
    </r>
  </si>
  <si>
    <r>
      <rPr>
        <sz val="10"/>
        <rFont val="Calibri"/>
        <family val="2"/>
      </rPr>
      <t>Nassarawa State Nigeria</t>
    </r>
  </si>
  <si>
    <r>
      <rPr>
        <sz val="10"/>
        <rFont val="Calibri"/>
        <family val="2"/>
      </rPr>
      <t>jun-15</t>
    </r>
  </si>
  <si>
    <r>
      <rPr>
        <sz val="10"/>
        <rFont val="Calibri"/>
        <family val="2"/>
      </rPr>
      <t>substantially completed</t>
    </r>
  </si>
  <si>
    <r>
      <rPr>
        <sz val="10"/>
        <rFont val="Calibri"/>
        <family val="2"/>
      </rPr>
      <t>Construction of Dual Dual Carriageway Eket By Pass, Eket- Oron Road Section IV ID752</t>
    </r>
  </si>
  <si>
    <r>
      <rPr>
        <sz val="10"/>
        <rFont val="Calibri"/>
        <family val="2"/>
      </rPr>
      <t>Construction of 9,75 km of Dual Carriageway from the Junction after the Eket Bridge on the existing East West Road Dualization alignment.</t>
    </r>
  </si>
  <si>
    <r>
      <rPr>
        <sz val="10"/>
        <rFont val="Calibri"/>
        <family val="2"/>
      </rPr>
      <t>Federal Republic of Nigeria - Ministry of Niger Delta</t>
    </r>
  </si>
  <si>
    <r>
      <rPr>
        <sz val="10"/>
        <rFont val="Calibri"/>
        <family val="2"/>
      </rPr>
      <t>may-19</t>
    </r>
  </si>
  <si>
    <r>
      <rPr>
        <sz val="10"/>
        <rFont val="Calibri"/>
        <family val="2"/>
      </rPr>
      <t>mar-26</t>
    </r>
  </si>
  <si>
    <r>
      <rPr>
        <sz val="10"/>
        <rFont val="Calibri"/>
        <family val="2"/>
      </rPr>
      <t>Rehabilitation of National Christian Centre</t>
    </r>
  </si>
  <si>
    <r>
      <rPr>
        <sz val="10"/>
        <rFont val="Calibri"/>
        <family val="2"/>
      </rPr>
      <t>Rehabilitation of the Roof of the existing Christian Church of Building</t>
    </r>
  </si>
  <si>
    <r>
      <rPr>
        <sz val="10"/>
        <rFont val="Calibri"/>
        <family val="2"/>
      </rPr>
      <t>Federal Capital Development Authority (Abuja)</t>
    </r>
  </si>
  <si>
    <r>
      <rPr>
        <sz val="10"/>
        <rFont val="Calibri"/>
        <family val="2"/>
      </rPr>
      <t>FCT Abuja</t>
    </r>
  </si>
  <si>
    <r>
      <rPr>
        <sz val="10"/>
        <rFont val="Calibri"/>
        <family val="2"/>
      </rPr>
      <t>feb-21</t>
    </r>
  </si>
  <si>
    <r>
      <rPr>
        <sz val="10"/>
        <rFont val="Calibri"/>
        <family val="2"/>
      </rPr>
      <t>Construction of Omelema- Agada Road Phase I</t>
    </r>
  </si>
  <si>
    <r>
      <rPr>
        <sz val="10"/>
        <rFont val="Calibri"/>
        <family val="2"/>
      </rPr>
      <t>Construction of 6.1km long double lane single carriageway connecting Omelema and Agada communities.</t>
    </r>
  </si>
  <si>
    <r>
      <rPr>
        <sz val="10"/>
        <rFont val="Calibri"/>
        <family val="2"/>
      </rPr>
      <t>Federal Republic Of Nigeria - Ministry of Niger Delta</t>
    </r>
  </si>
  <si>
    <r>
      <rPr>
        <sz val="10"/>
        <rFont val="Calibri"/>
        <family val="2"/>
      </rPr>
      <t>River State Nigeria</t>
    </r>
  </si>
  <si>
    <r>
      <rPr>
        <sz val="10"/>
        <rFont val="Calibri"/>
        <family val="2"/>
      </rPr>
      <t>Dec-10</t>
    </r>
  </si>
  <si>
    <r>
      <rPr>
        <sz val="10"/>
        <rFont val="Calibri"/>
        <family val="2"/>
      </rPr>
      <t>suspended</t>
    </r>
  </si>
  <si>
    <r>
      <rPr>
        <sz val="10"/>
        <rFont val="Calibri"/>
        <family val="2"/>
      </rPr>
      <t>Osun Liason Office</t>
    </r>
  </si>
  <si>
    <r>
      <rPr>
        <sz val="10"/>
        <rFont val="Calibri"/>
        <family val="2"/>
      </rPr>
      <t>Six storey office complex for the State with external and basement parking and driveway</t>
    </r>
  </si>
  <si>
    <r>
      <rPr>
        <sz val="10"/>
        <rFont val="Calibri"/>
        <family val="2"/>
      </rPr>
      <t>Osun State</t>
    </r>
  </si>
  <si>
    <r>
      <rPr>
        <sz val="10"/>
        <rFont val="Calibri"/>
        <family val="2"/>
      </rPr>
      <t>Osun State Nigeria</t>
    </r>
  </si>
  <si>
    <r>
      <rPr>
        <sz val="10"/>
        <rFont val="Calibri"/>
        <family val="2"/>
      </rPr>
      <t>Aug-05</t>
    </r>
  </si>
  <si>
    <r>
      <rPr>
        <sz val="10"/>
        <rFont val="Calibri"/>
        <family val="2"/>
      </rPr>
      <t>Akwa Ibom International Airport Phase I</t>
    </r>
  </si>
  <si>
    <r>
      <rPr>
        <sz val="10"/>
        <rFont val="Calibri"/>
        <family val="2"/>
      </rPr>
      <t>International Standard Runway of 3.6km &amp; 60m wide and an interim terminal Apron and MRO Apron.</t>
    </r>
  </si>
  <si>
    <r>
      <rPr>
        <sz val="10"/>
        <rFont val="Calibri"/>
        <family val="2"/>
      </rPr>
      <t>Government of Akwa Ibom State Nigeria</t>
    </r>
  </si>
  <si>
    <r>
      <rPr>
        <sz val="10"/>
        <rFont val="Calibri"/>
        <family val="2"/>
      </rPr>
      <t>jun-05</t>
    </r>
  </si>
  <si>
    <r>
      <rPr>
        <sz val="10"/>
        <rFont val="Calibri"/>
        <family val="2"/>
      </rPr>
      <t>substantially completed suspended</t>
    </r>
  </si>
  <si>
    <r>
      <rPr>
        <sz val="10"/>
        <rFont val="Calibri"/>
        <family val="2"/>
      </rPr>
      <t>Construction of 20th Anniversary Specialist Hospital, Uyo</t>
    </r>
  </si>
  <si>
    <r>
      <rPr>
        <sz val="10"/>
        <rFont val="Calibri"/>
        <family val="2"/>
      </rPr>
      <t>Main Building housing  supported by a Service Building and ancillary building.</t>
    </r>
  </si>
  <si>
    <r>
      <rPr>
        <sz val="10"/>
        <rFont val="Calibri"/>
        <family val="2"/>
      </rPr>
      <t>Federal Republic of Nigeria - Government of Akwa Ibom State</t>
    </r>
  </si>
  <si>
    <r>
      <rPr>
        <sz val="10"/>
        <rFont val="Calibri"/>
        <family val="2"/>
      </rPr>
      <t>may-09</t>
    </r>
  </si>
  <si>
    <r>
      <rPr>
        <sz val="10"/>
        <rFont val="Calibri"/>
        <family val="2"/>
      </rPr>
      <t>Construction of Itigidi Bridge &amp; Approach Roads</t>
    </r>
  </si>
  <si>
    <r>
      <rPr>
        <sz val="10"/>
        <rFont val="Calibri"/>
        <family val="2"/>
      </rPr>
      <t>Construction of Multiple Span Bridge and 26-km double lane single carriageway with a spur road of about 1.5km.</t>
    </r>
  </si>
  <si>
    <r>
      <rPr>
        <sz val="10"/>
        <rFont val="Calibri"/>
        <family val="2"/>
      </rPr>
      <t>Federal Republic of Nigeria - Ministry of Works</t>
    </r>
  </si>
  <si>
    <r>
      <rPr>
        <sz val="10"/>
        <rFont val="Calibri"/>
        <family val="2"/>
      </rPr>
      <t>Cross River State Nigeria</t>
    </r>
  </si>
  <si>
    <r>
      <rPr>
        <sz val="10"/>
        <rFont val="Calibri"/>
        <family val="2"/>
      </rPr>
      <t>mar-03</t>
    </r>
  </si>
  <si>
    <r>
      <rPr>
        <b/>
        <sz val="10"/>
        <rFont val="Calibri"/>
        <family val="2"/>
      </rPr>
      <t>GRAND TOTAL</t>
    </r>
  </si>
  <si>
    <r>
      <rPr>
        <b/>
        <sz val="14"/>
        <rFont val="Calibri"/>
        <family val="2"/>
      </rPr>
      <t>GITTO COSTRUZIONI GENERALI NIGERIA LTD</t>
    </r>
  </si>
  <si>
    <r>
      <rPr>
        <b/>
        <sz val="14"/>
        <rFont val="Calibri"/>
        <family val="2"/>
      </rPr>
      <t>LIST OF COMPLETED/SUBSTANTIALLY COMPLETED PROJECTS AND TOP CUSTOMERS</t>
    </r>
  </si>
  <si>
    <r>
      <rPr>
        <b/>
        <sz val="14"/>
        <rFont val="Calibri"/>
        <family val="2"/>
      </rPr>
      <t>Cat.</t>
    </r>
  </si>
  <si>
    <r>
      <rPr>
        <b/>
        <sz val="14"/>
        <rFont val="Calibri"/>
        <family val="2"/>
      </rPr>
      <t>No.</t>
    </r>
  </si>
  <si>
    <r>
      <rPr>
        <b/>
        <sz val="14"/>
        <rFont val="Calibri"/>
        <family val="2"/>
      </rPr>
      <t>PROJECT NAME</t>
    </r>
  </si>
  <si>
    <r>
      <rPr>
        <b/>
        <sz val="14"/>
        <rFont val="Calibri"/>
        <family val="2"/>
      </rPr>
      <t>CLIENT</t>
    </r>
  </si>
  <si>
    <r>
      <rPr>
        <b/>
        <sz val="14"/>
        <rFont val="Calibri"/>
        <family val="2"/>
      </rPr>
      <t>LOCATION</t>
    </r>
  </si>
  <si>
    <r>
      <rPr>
        <b/>
        <sz val="14"/>
        <rFont val="Calibri"/>
        <family val="2"/>
      </rPr>
      <t>Award contract Date</t>
    </r>
  </si>
  <si>
    <r>
      <rPr>
        <b/>
        <sz val="14"/>
        <rFont val="Calibri"/>
        <family val="2"/>
      </rPr>
      <t>Completion Date</t>
    </r>
  </si>
  <si>
    <r>
      <rPr>
        <b/>
        <sz val="14"/>
        <rFont val="Calibri"/>
        <family val="2"/>
      </rPr>
      <t>Original Contract Amount NGN</t>
    </r>
  </si>
  <si>
    <r>
      <rPr>
        <b/>
        <sz val="14"/>
        <rFont val="Calibri"/>
        <family val="2"/>
      </rPr>
      <t>Remarks</t>
    </r>
  </si>
  <si>
    <r>
      <rPr>
        <b/>
        <sz val="14"/>
        <rFont val="Calibri"/>
        <family val="2"/>
      </rPr>
      <t>AIRPORTS</t>
    </r>
  </si>
  <si>
    <r>
      <rPr>
        <sz val="14"/>
        <rFont val="Calibri"/>
        <family val="2"/>
      </rPr>
      <t>Akwa Ibom International Airport Phase I</t>
    </r>
  </si>
  <si>
    <r>
      <rPr>
        <sz val="10"/>
        <rFont val="Calibri"/>
        <family val="2"/>
      </rPr>
      <t>Government of Akwa Ibom State</t>
    </r>
  </si>
  <si>
    <r>
      <rPr>
        <sz val="14"/>
        <rFont val="Calibri"/>
        <family val="2"/>
      </rPr>
      <t>completed</t>
    </r>
  </si>
  <si>
    <r>
      <rPr>
        <b/>
        <sz val="14"/>
        <rFont val="Calibri"/>
        <family val="2"/>
      </rPr>
      <t>ROADS/HIGHWAYS/INFRASTRUCTUR ES</t>
    </r>
  </si>
  <si>
    <r>
      <rPr>
        <sz val="14"/>
        <rFont val="Calibri"/>
        <family val="2"/>
      </rPr>
      <t>Dualization of Abak Road Uyo</t>
    </r>
  </si>
  <si>
    <r>
      <rPr>
        <sz val="10"/>
        <rFont val="Calibri"/>
        <family val="2"/>
      </rPr>
      <t>Akwa Ibom State Government</t>
    </r>
  </si>
  <si>
    <r>
      <rPr>
        <sz val="14"/>
        <rFont val="Calibri"/>
        <family val="2"/>
      </rPr>
      <t>Dualization of Oron Road (Section II)</t>
    </r>
  </si>
  <si>
    <r>
      <rPr>
        <sz val="10"/>
        <rFont val="Calibri"/>
        <family val="2"/>
      </rPr>
      <t>Government of Akwa Ibom State - Ministry of Works &amp;
Transport</t>
    </r>
  </si>
  <si>
    <r>
      <rPr>
        <sz val="14"/>
        <rFont val="Calibri"/>
        <family val="2"/>
      </rPr>
      <t>Construction of Itigidi Bridge &amp; Approach Roads</t>
    </r>
  </si>
  <si>
    <r>
      <rPr>
        <sz val="14"/>
        <rFont val="Calibri"/>
        <family val="2"/>
      </rPr>
      <t>substantially completed</t>
    </r>
  </si>
  <si>
    <r>
      <rPr>
        <sz val="14"/>
        <rFont val="Calibri"/>
        <family val="2"/>
      </rPr>
      <t>Rehabilitation of Nasarawa Loko Road</t>
    </r>
  </si>
  <si>
    <r>
      <rPr>
        <sz val="10"/>
        <rFont val="Calibri"/>
        <family val="2"/>
      </rPr>
      <t>Nassarawa State</t>
    </r>
  </si>
  <si>
    <r>
      <rPr>
        <b/>
        <sz val="14"/>
        <rFont val="Calibri"/>
        <family val="2"/>
      </rPr>
      <t>BUILDINGS</t>
    </r>
  </si>
  <si>
    <r>
      <rPr>
        <sz val="14"/>
        <rFont val="Calibri"/>
        <family val="2"/>
      </rPr>
      <t>Completion of Shehu Shagari Presidential Complex</t>
    </r>
  </si>
  <si>
    <r>
      <rPr>
        <sz val="10"/>
        <rFont val="Calibri"/>
        <family val="2"/>
      </rPr>
      <t>Federal Capital Development Authority</t>
    </r>
  </si>
  <si>
    <r>
      <rPr>
        <sz val="10"/>
        <rFont val="Calibri"/>
        <family val="2"/>
      </rPr>
      <t>Abuja FCT State Nigeria</t>
    </r>
  </si>
  <si>
    <r>
      <rPr>
        <sz val="14"/>
        <rFont val="Calibri"/>
        <family val="2"/>
      </rPr>
      <t>Construction of the National Ecumenical Centre</t>
    </r>
  </si>
  <si>
    <r>
      <rPr>
        <sz val="10"/>
        <rFont val="Calibri"/>
        <family val="2"/>
      </rPr>
      <t>National Christian Association</t>
    </r>
  </si>
  <si>
    <r>
      <rPr>
        <sz val="14"/>
        <rFont val="Calibri"/>
        <family val="2"/>
      </rPr>
      <t>Presidential Library &amp; Hotel</t>
    </r>
  </si>
  <si>
    <r>
      <rPr>
        <sz val="10"/>
        <rFont val="Calibri"/>
        <family val="2"/>
      </rPr>
      <t>OOPL Foundation</t>
    </r>
  </si>
  <si>
    <r>
      <rPr>
        <sz val="10"/>
        <rFont val="Calibri"/>
        <family val="2"/>
      </rPr>
      <t>Abeokuta Nigeria</t>
    </r>
  </si>
  <si>
    <r>
      <rPr>
        <sz val="14"/>
        <rFont val="Calibri"/>
        <family val="2"/>
      </rPr>
      <t>Construction of 20th Anniversary Specialist Hospital, Uyo</t>
    </r>
  </si>
  <si>
    <r>
      <rPr>
        <sz val="10"/>
        <rFont val="Calibri"/>
        <family val="2"/>
      </rPr>
      <t>Akwa Ibom State  Nigeria</t>
    </r>
  </si>
  <si>
    <r>
      <rPr>
        <sz val="14"/>
        <rFont val="Calibri"/>
        <family val="2"/>
      </rPr>
      <t>Central Bank of Nigeria Yenagoa Branch Prototype Building</t>
    </r>
  </si>
  <si>
    <r>
      <rPr>
        <sz val="10"/>
        <rFont val="Calibri"/>
        <family val="2"/>
      </rPr>
      <t>Central Bank of Nigeria</t>
    </r>
  </si>
  <si>
    <r>
      <rPr>
        <sz val="10"/>
        <rFont val="Calibri"/>
        <family val="2"/>
      </rPr>
      <t>Bayelsa State Nigeria</t>
    </r>
  </si>
  <si>
    <r>
      <rPr>
        <b/>
        <sz val="14"/>
        <rFont val="Calibri"/>
        <family val="2"/>
      </rPr>
      <t>GRAND TOTAL</t>
    </r>
  </si>
  <si>
    <t>Revised  Contract Amount NGN</t>
  </si>
  <si>
    <t>USD/NGN</t>
  </si>
  <si>
    <t>NGN/USD</t>
  </si>
  <si>
    <t>Revised  Contract Amount USD</t>
  </si>
  <si>
    <t>Original Contract Amount USD</t>
  </si>
  <si>
    <t>Original Contract Amount TL</t>
  </si>
  <si>
    <t>Revised  Contract Amount TL</t>
  </si>
  <si>
    <t>USD/TL</t>
  </si>
  <si>
    <t>İLK SÖZLEŞME GÜNCEL DEĞERİ TL</t>
  </si>
  <si>
    <t>SÖZLEŞME SONU GÜNCEL DEĞERİ TL</t>
  </si>
  <si>
    <t>Current Augmented Contract Amount NGN</t>
  </si>
  <si>
    <t>Works Done Amount NGN</t>
  </si>
  <si>
    <t>Oustanding Works to completion NGN</t>
  </si>
  <si>
    <t>Current Augmented Contract Amount USD</t>
  </si>
  <si>
    <t>Works Done Amount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</si>
</sst>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;@"/>
    <numFmt numFmtId="165" formatCode="0.000000"/>
    <numFmt numFmtId="166" formatCode="#,##0.000000"/>
    <numFmt numFmtId="167" formatCode="#,##0.0000"/>
  </numFmts>
  <fonts count="19" x14ac:knownFonts="1">
    <font>
      <sz val="10"/>
      <color rgb="FF000000"/>
      <name val="Times New Roman"/>
      <charset val="204"/>
    </font>
    <font>
      <b/>
      <sz val="11.5"/>
      <name val="Calibri"/>
      <family val="2"/>
      <charset val="162"/>
    </font>
    <font>
      <b/>
      <sz val="11.5"/>
      <name val="Calibri"/>
      <family val="2"/>
    </font>
    <font>
      <sz val="10"/>
      <color rgb="FF000000"/>
      <name val="Times New Roman"/>
      <family val="1"/>
      <charset val="162"/>
    </font>
    <font>
      <b/>
      <sz val="9"/>
      <color rgb="FF000000"/>
      <name val="Calibri"/>
      <family val="2"/>
    </font>
    <font>
      <b/>
      <sz val="10"/>
      <name val="Calibri"/>
      <family val="2"/>
      <charset val="162"/>
    </font>
    <font>
      <b/>
      <sz val="1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  <charset val="162"/>
    </font>
    <font>
      <sz val="10"/>
      <name val="Calibri"/>
      <family val="2"/>
    </font>
    <font>
      <b/>
      <sz val="10"/>
      <color rgb="FF000000"/>
      <name val="Calibri"/>
      <family val="2"/>
    </font>
    <font>
      <b/>
      <sz val="14"/>
      <name val="Calibri"/>
      <family val="2"/>
      <charset val="162"/>
    </font>
    <font>
      <b/>
      <sz val="14"/>
      <name val="Calibri"/>
      <family val="2"/>
    </font>
    <font>
      <sz val="14"/>
      <color rgb="FF000000"/>
      <name val="Times New Roman"/>
      <family val="1"/>
      <charset val="16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4"/>
      <name val="Calibri"/>
      <family val="2"/>
      <charset val="162"/>
    </font>
    <font>
      <sz val="14"/>
      <name val="Calibri"/>
      <family val="2"/>
    </font>
    <font>
      <sz val="12"/>
      <color rgb="FF43434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 indent="2"/>
    </xf>
    <xf numFmtId="0" fontId="5" fillId="0" borderId="2" xfId="0" applyFont="1" applyBorder="1" applyAlignment="1">
      <alignment horizontal="left" vertical="center" wrapText="1" indent="4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 indent="1"/>
    </xf>
    <xf numFmtId="0" fontId="5" fillId="0" borderId="2" xfId="0" applyFont="1" applyBorder="1" applyAlignment="1">
      <alignment horizontal="left" vertical="center" wrapText="1" indent="1"/>
    </xf>
    <xf numFmtId="1" fontId="7" fillId="0" borderId="2" xfId="0" applyNumberFormat="1" applyFont="1" applyBorder="1" applyAlignment="1">
      <alignment horizontal="center" vertical="center" shrinkToFit="1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center" wrapText="1"/>
    </xf>
    <xf numFmtId="3" fontId="7" fillId="0" borderId="2" xfId="0" applyNumberFormat="1" applyFont="1" applyBorder="1" applyAlignment="1">
      <alignment horizontal="right" vertical="center" shrinkToFit="1"/>
    </xf>
    <xf numFmtId="0" fontId="3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center" wrapText="1"/>
    </xf>
    <xf numFmtId="3" fontId="7" fillId="0" borderId="2" xfId="0" applyNumberFormat="1" applyFont="1" applyBorder="1" applyAlignment="1">
      <alignment horizontal="right" vertical="top" shrinkToFit="1"/>
    </xf>
    <xf numFmtId="9" fontId="7" fillId="0" borderId="2" xfId="0" applyNumberFormat="1" applyFont="1" applyBorder="1" applyAlignment="1">
      <alignment horizontal="center" vertical="top" shrinkToFit="1"/>
    </xf>
    <xf numFmtId="1" fontId="7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center" wrapText="1"/>
    </xf>
    <xf numFmtId="3" fontId="10" fillId="0" borderId="2" xfId="0" applyNumberFormat="1" applyFont="1" applyBorder="1" applyAlignment="1">
      <alignment horizontal="right" vertical="top" shrinkToFit="1"/>
    </xf>
    <xf numFmtId="165" fontId="0" fillId="0" borderId="0" xfId="0" applyNumberFormat="1" applyAlignment="1">
      <alignment horizontal="left" vertical="top"/>
    </xf>
    <xf numFmtId="166" fontId="0" fillId="0" borderId="0" xfId="0" applyNumberForma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1" xfId="0" applyFont="1" applyBorder="1" applyAlignment="1">
      <alignment horizontal="left" vertical="center" wrapText="1"/>
    </xf>
    <xf numFmtId="164" fontId="14" fillId="0" borderId="1" xfId="0" applyNumberFormat="1" applyFont="1" applyBorder="1" applyAlignment="1">
      <alignment horizontal="left" vertical="top" indent="2" shrinkToFit="1"/>
    </xf>
    <xf numFmtId="0" fontId="11" fillId="0" borderId="2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textRotation="90" wrapText="1"/>
    </xf>
    <xf numFmtId="1" fontId="15" fillId="0" borderId="2" xfId="0" applyNumberFormat="1" applyFont="1" applyBorder="1" applyAlignment="1">
      <alignment horizontal="center" vertical="center" shrinkToFit="1"/>
    </xf>
    <xf numFmtId="0" fontId="16" fillId="0" borderId="2" xfId="0" applyFont="1" applyBorder="1" applyAlignment="1">
      <alignment horizontal="left" vertical="center" wrapText="1"/>
    </xf>
    <xf numFmtId="3" fontId="15" fillId="0" borderId="2" xfId="0" applyNumberFormat="1" applyFont="1" applyBorder="1" applyAlignment="1">
      <alignment horizontal="right" vertical="center" shrinkToFit="1"/>
    </xf>
    <xf numFmtId="1" fontId="15" fillId="0" borderId="2" xfId="0" applyNumberFormat="1" applyFont="1" applyBorder="1" applyAlignment="1">
      <alignment horizontal="center" vertical="top" shrinkToFit="1"/>
    </xf>
    <xf numFmtId="0" fontId="16" fillId="0" borderId="2" xfId="0" applyFont="1" applyBorder="1" applyAlignment="1">
      <alignment horizontal="left" vertical="top" wrapText="1"/>
    </xf>
    <xf numFmtId="3" fontId="15" fillId="0" borderId="2" xfId="0" applyNumberFormat="1" applyFont="1" applyBorder="1" applyAlignment="1">
      <alignment horizontal="right" vertical="top" shrinkToFit="1"/>
    </xf>
    <xf numFmtId="0" fontId="13" fillId="0" borderId="2" xfId="0" applyFont="1" applyBorder="1" applyAlignment="1">
      <alignment horizontal="left" vertical="center" wrapText="1"/>
    </xf>
    <xf numFmtId="3" fontId="14" fillId="0" borderId="2" xfId="0" applyNumberFormat="1" applyFont="1" applyBorder="1" applyAlignment="1">
      <alignment horizontal="right" vertical="top" shrinkToFit="1"/>
    </xf>
    <xf numFmtId="164" fontId="4" fillId="0" borderId="1" xfId="0" applyNumberFormat="1" applyFont="1" applyBorder="1" applyAlignment="1">
      <alignment horizontal="center" vertical="center" shrinkToFit="1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1" fontId="15" fillId="2" borderId="2" xfId="0" applyNumberFormat="1" applyFont="1" applyFill="1" applyBorder="1" applyAlignment="1">
      <alignment horizontal="center" vertical="center" shrinkToFit="1"/>
    </xf>
    <xf numFmtId="0" fontId="16" fillId="2" borderId="2" xfId="0" applyFont="1" applyFill="1" applyBorder="1" applyAlignment="1">
      <alignment horizontal="left" vertical="top" wrapText="1"/>
    </xf>
    <xf numFmtId="0" fontId="8" fillId="2" borderId="2" xfId="0" applyFont="1" applyFill="1" applyBorder="1" applyAlignment="1">
      <alignment horizontal="left" vertical="top" wrapText="1"/>
    </xf>
    <xf numFmtId="3" fontId="15" fillId="2" borderId="2" xfId="0" applyNumberFormat="1" applyFont="1" applyFill="1" applyBorder="1" applyAlignment="1">
      <alignment horizontal="right" vertical="center" shrinkToFit="1"/>
    </xf>
    <xf numFmtId="0" fontId="16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top" wrapText="1"/>
    </xf>
    <xf numFmtId="0" fontId="8" fillId="2" borderId="2" xfId="0" applyFont="1" applyFill="1" applyBorder="1" applyAlignment="1">
      <alignment horizontal="left" vertical="center" wrapText="1"/>
    </xf>
    <xf numFmtId="1" fontId="15" fillId="3" borderId="2" xfId="0" applyNumberFormat="1" applyFont="1" applyFill="1" applyBorder="1" applyAlignment="1">
      <alignment horizontal="center" vertical="center" shrinkToFit="1"/>
    </xf>
    <xf numFmtId="0" fontId="16" fillId="3" borderId="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top" wrapText="1"/>
    </xf>
    <xf numFmtId="3" fontId="15" fillId="3" borderId="2" xfId="0" applyNumberFormat="1" applyFont="1" applyFill="1" applyBorder="1" applyAlignment="1">
      <alignment horizontal="right" vertical="center" shrinkToFit="1"/>
    </xf>
    <xf numFmtId="0" fontId="16" fillId="2" borderId="7" xfId="0" applyFont="1" applyFill="1" applyBorder="1" applyAlignment="1">
      <alignment horizontal="left" vertical="center" wrapText="1" indent="1"/>
    </xf>
    <xf numFmtId="0" fontId="16" fillId="0" borderId="7" xfId="0" applyFont="1" applyBorder="1" applyAlignment="1">
      <alignment horizontal="left" vertical="center" wrapText="1" indent="1"/>
    </xf>
    <xf numFmtId="0" fontId="16" fillId="0" borderId="7" xfId="0" applyFont="1" applyBorder="1" applyAlignment="1">
      <alignment horizontal="left" vertical="top" wrapText="1" indent="1"/>
    </xf>
    <xf numFmtId="0" fontId="16" fillId="3" borderId="7" xfId="0" applyFont="1" applyFill="1" applyBorder="1" applyAlignment="1">
      <alignment horizontal="left" vertical="top" wrapText="1" indent="1"/>
    </xf>
    <xf numFmtId="0" fontId="16" fillId="2" borderId="7" xfId="0" applyFont="1" applyFill="1" applyBorder="1" applyAlignment="1">
      <alignment horizontal="left" vertical="top" wrapText="1" indent="1"/>
    </xf>
    <xf numFmtId="0" fontId="13" fillId="0" borderId="7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4" fontId="13" fillId="2" borderId="6" xfId="0" applyNumberFormat="1" applyFont="1" applyFill="1" applyBorder="1" applyAlignment="1">
      <alignment horizontal="center" vertical="center"/>
    </xf>
    <xf numFmtId="4" fontId="13" fillId="0" borderId="6" xfId="0" applyNumberFormat="1" applyFont="1" applyBorder="1" applyAlignment="1">
      <alignment horizontal="center" vertical="center"/>
    </xf>
    <xf numFmtId="166" fontId="18" fillId="0" borderId="6" xfId="0" applyNumberFormat="1" applyFont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4" fontId="13" fillId="3" borderId="6" xfId="0" applyNumberFormat="1" applyFont="1" applyFill="1" applyBorder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6" fontId="13" fillId="0" borderId="6" xfId="0" applyNumberFormat="1" applyFont="1" applyBorder="1" applyAlignment="1">
      <alignment horizontal="center" vertical="center"/>
    </xf>
    <xf numFmtId="166" fontId="13" fillId="2" borderId="6" xfId="0" applyNumberFormat="1" applyFont="1" applyFill="1" applyBorder="1" applyAlignment="1">
      <alignment horizontal="center" vertical="center"/>
    </xf>
    <xf numFmtId="166" fontId="13" fillId="3" borderId="6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top" wrapText="1"/>
    </xf>
    <xf numFmtId="0" fontId="13" fillId="0" borderId="6" xfId="0" applyFont="1" applyBorder="1" applyAlignment="1">
      <alignment horizontal="center" vertical="top"/>
    </xf>
    <xf numFmtId="166" fontId="13" fillId="0" borderId="6" xfId="0" applyNumberFormat="1" applyFont="1" applyBorder="1" applyAlignment="1">
      <alignment horizontal="center" vertical="top"/>
    </xf>
    <xf numFmtId="0" fontId="12" fillId="0" borderId="2" xfId="0" applyFont="1" applyBorder="1" applyAlignment="1">
      <alignment horizontal="center" vertical="top" wrapText="1"/>
    </xf>
    <xf numFmtId="0" fontId="11" fillId="0" borderId="7" xfId="0" applyFont="1" applyBorder="1" applyAlignment="1">
      <alignment horizontal="center" vertical="top" wrapText="1"/>
    </xf>
    <xf numFmtId="4" fontId="12" fillId="0" borderId="6" xfId="0" applyNumberFormat="1" applyFont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 wrapText="1"/>
    </xf>
    <xf numFmtId="167" fontId="13" fillId="0" borderId="0" xfId="0" applyNumberFormat="1" applyFont="1" applyAlignment="1">
      <alignment horizontal="center" vertical="center"/>
    </xf>
    <xf numFmtId="167" fontId="12" fillId="0" borderId="6" xfId="0" applyNumberFormat="1" applyFont="1" applyBorder="1" applyAlignment="1">
      <alignment horizontal="center" vertical="top" wrapText="1"/>
    </xf>
    <xf numFmtId="4" fontId="12" fillId="0" borderId="6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center" wrapText="1" indent="1"/>
    </xf>
    <xf numFmtId="0" fontId="8" fillId="0" borderId="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top" wrapText="1"/>
    </xf>
    <xf numFmtId="166" fontId="0" fillId="0" borderId="6" xfId="0" applyNumberFormat="1" applyBorder="1" applyAlignment="1">
      <alignment horizontal="left" vertical="top"/>
    </xf>
    <xf numFmtId="165" fontId="0" fillId="0" borderId="6" xfId="0" applyNumberFormat="1" applyBorder="1" applyAlignment="1">
      <alignment horizontal="left" vertical="top"/>
    </xf>
    <xf numFmtId="4" fontId="0" fillId="0" borderId="0" xfId="0" applyNumberFormat="1" applyAlignment="1">
      <alignment horizontal="left" vertical="top"/>
    </xf>
    <xf numFmtId="4" fontId="6" fillId="0" borderId="3" xfId="0" applyNumberFormat="1" applyFont="1" applyBorder="1" applyAlignment="1">
      <alignment horizontal="left" vertical="top" wrapText="1" indent="1"/>
    </xf>
    <xf numFmtId="4" fontId="6" fillId="0" borderId="3" xfId="0" applyNumberFormat="1" applyFont="1" applyBorder="1" applyAlignment="1">
      <alignment horizontal="center" vertical="top" wrapText="1"/>
    </xf>
    <xf numFmtId="0" fontId="6" fillId="0" borderId="3" xfId="0" applyFont="1" applyBorder="1" applyAlignment="1">
      <alignment horizontal="left" vertical="top" wrapText="1" indent="1"/>
    </xf>
    <xf numFmtId="4" fontId="0" fillId="0" borderId="6" xfId="0" applyNumberFormat="1" applyBorder="1" applyAlignment="1">
      <alignment horizontal="left" vertical="top"/>
    </xf>
    <xf numFmtId="9" fontId="7" fillId="2" borderId="2" xfId="0" applyNumberFormat="1" applyFont="1" applyFill="1" applyBorder="1" applyAlignment="1">
      <alignment horizontal="center" vertical="center" shrinkToFit="1"/>
    </xf>
    <xf numFmtId="167" fontId="13" fillId="2" borderId="6" xfId="0" applyNumberFormat="1" applyFont="1" applyFill="1" applyBorder="1" applyAlignment="1">
      <alignment horizontal="center" vertical="center"/>
    </xf>
    <xf numFmtId="167" fontId="13" fillId="0" borderId="6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textRotation="90" wrapText="1"/>
    </xf>
    <xf numFmtId="0" fontId="11" fillId="0" borderId="4" xfId="0" applyFont="1" applyBorder="1" applyAlignment="1">
      <alignment horizontal="left" textRotation="90" wrapText="1"/>
    </xf>
    <xf numFmtId="0" fontId="11" fillId="0" borderId="5" xfId="0" applyFont="1" applyBorder="1" applyAlignment="1">
      <alignment horizontal="left" textRotation="90" wrapText="1"/>
    </xf>
    <xf numFmtId="0" fontId="11" fillId="0" borderId="3" xfId="0" applyFont="1" applyBorder="1" applyAlignment="1">
      <alignment horizontal="center" vertical="center" textRotation="90" wrapText="1"/>
    </xf>
    <xf numFmtId="0" fontId="11" fillId="0" borderId="4" xfId="0" applyFont="1" applyBorder="1" applyAlignment="1">
      <alignment horizontal="center" vertical="center" textRotation="90" wrapText="1"/>
    </xf>
    <xf numFmtId="0" fontId="11" fillId="0" borderId="5" xfId="0" applyFont="1" applyBorder="1" applyAlignment="1">
      <alignment horizontal="center" vertical="center" textRotation="90" wrapText="1"/>
    </xf>
    <xf numFmtId="0" fontId="8" fillId="2" borderId="2" xfId="0" applyFont="1" applyFill="1" applyBorder="1" applyAlignment="1">
      <alignment horizontal="left" vertical="top" wrapText="1" indent="1"/>
    </xf>
    <xf numFmtId="0" fontId="8" fillId="2" borderId="2" xfId="0" applyFont="1" applyFill="1" applyBorder="1" applyAlignment="1">
      <alignment horizontal="center" vertical="center" wrapText="1"/>
    </xf>
    <xf numFmtId="3" fontId="7" fillId="2" borderId="2" xfId="0" applyNumberFormat="1" applyFont="1" applyFill="1" applyBorder="1" applyAlignment="1">
      <alignment horizontal="right" vertical="center" shrinkToFit="1"/>
    </xf>
    <xf numFmtId="0" fontId="8" fillId="2" borderId="7" xfId="0" applyFont="1" applyFill="1" applyBorder="1" applyAlignment="1">
      <alignment horizontal="left" vertical="center" wrapText="1" indent="1"/>
    </xf>
    <xf numFmtId="9" fontId="7" fillId="0" borderId="2" xfId="0" applyNumberFormat="1" applyFont="1" applyFill="1" applyBorder="1" applyAlignment="1">
      <alignment horizontal="center" vertical="center" shrinkToFit="1"/>
    </xf>
    <xf numFmtId="9" fontId="7" fillId="0" borderId="2" xfId="0" applyNumberFormat="1" applyFont="1" applyFill="1" applyBorder="1" applyAlignment="1">
      <alignment horizontal="center" vertical="top" shrinkToFit="1"/>
    </xf>
    <xf numFmtId="0" fontId="8" fillId="2" borderId="7" xfId="0" applyFont="1" applyFill="1" applyBorder="1" applyAlignment="1">
      <alignment horizontal="center" vertical="top" wrapText="1"/>
    </xf>
    <xf numFmtId="0" fontId="8" fillId="2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topLeftCell="C3" workbookViewId="0">
      <selection activeCell="M7" sqref="C7:M7"/>
    </sheetView>
  </sheetViews>
  <sheetFormatPr defaultRowHeight="13.2" x14ac:dyDescent="0.25"/>
  <cols>
    <col min="1" max="1" width="6.77734375" customWidth="1"/>
    <col min="2" max="2" width="21.6640625" customWidth="1"/>
    <col min="3" max="3" width="44" customWidth="1"/>
    <col min="4" max="4" width="16.109375" hidden="1" customWidth="1"/>
    <col min="5" max="5" width="11.44140625" hidden="1" customWidth="1"/>
    <col min="6" max="6" width="9.33203125" customWidth="1"/>
    <col min="7" max="7" width="8" customWidth="1"/>
    <col min="8" max="8" width="14" customWidth="1"/>
    <col min="9" max="10" width="12.6640625" customWidth="1"/>
    <col min="11" max="11" width="15.109375" customWidth="1"/>
    <col min="12" max="12" width="8" customWidth="1"/>
    <col min="13" max="13" width="15" customWidth="1"/>
    <col min="14" max="14" width="10.109375" style="21" bestFit="1" customWidth="1"/>
    <col min="15" max="15" width="10.6640625" style="20" bestFit="1" customWidth="1"/>
    <col min="16" max="16" width="13.77734375" style="85" bestFit="1" customWidth="1"/>
    <col min="17" max="17" width="14.33203125" style="85" customWidth="1"/>
    <col min="18" max="18" width="13.77734375" bestFit="1" customWidth="1"/>
  </cols>
  <sheetData>
    <row r="1" spans="1:18" ht="15" x14ac:dyDescent="0.25">
      <c r="A1" s="93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</row>
    <row r="2" spans="1:18" ht="15" x14ac:dyDescent="0.25">
      <c r="A2" s="94" t="s">
        <v>1</v>
      </c>
      <c r="B2" s="94"/>
      <c r="C2" s="94"/>
      <c r="D2" s="1"/>
      <c r="E2" s="1"/>
      <c r="F2" s="1"/>
      <c r="G2" s="1"/>
      <c r="H2" s="1"/>
      <c r="I2" s="1"/>
      <c r="J2" s="1"/>
      <c r="K2" s="1"/>
      <c r="L2" s="1"/>
      <c r="M2" s="35">
        <v>45434</v>
      </c>
    </row>
    <row r="3" spans="1:18" ht="55.2" x14ac:dyDescent="0.25">
      <c r="A3" s="2" t="s">
        <v>2</v>
      </c>
      <c r="B3" s="3" t="s">
        <v>3</v>
      </c>
      <c r="C3" s="4" t="s">
        <v>4</v>
      </c>
      <c r="D3" s="2" t="s">
        <v>5</v>
      </c>
      <c r="E3" s="2" t="s">
        <v>6</v>
      </c>
      <c r="F3" s="5" t="s">
        <v>7</v>
      </c>
      <c r="G3" s="2" t="s">
        <v>8</v>
      </c>
      <c r="H3" s="6" t="s">
        <v>9</v>
      </c>
      <c r="I3" s="77" t="s">
        <v>114</v>
      </c>
      <c r="J3" s="78" t="s">
        <v>115</v>
      </c>
      <c r="K3" s="79" t="s">
        <v>116</v>
      </c>
      <c r="L3" s="2" t="s">
        <v>10</v>
      </c>
      <c r="M3" s="7" t="s">
        <v>11</v>
      </c>
      <c r="N3" s="82" t="s">
        <v>105</v>
      </c>
      <c r="O3" s="82" t="s">
        <v>106</v>
      </c>
      <c r="P3" s="86" t="s">
        <v>108</v>
      </c>
      <c r="Q3" s="87" t="s">
        <v>117</v>
      </c>
      <c r="R3" s="88" t="s">
        <v>118</v>
      </c>
    </row>
    <row r="4" spans="1:18" ht="55.2" x14ac:dyDescent="0.25">
      <c r="A4" s="8">
        <v>1</v>
      </c>
      <c r="B4" s="9" t="s">
        <v>12</v>
      </c>
      <c r="C4" s="41" t="s">
        <v>13</v>
      </c>
      <c r="D4" s="103" t="s">
        <v>14</v>
      </c>
      <c r="E4" s="41" t="s">
        <v>15</v>
      </c>
      <c r="F4" s="104" t="s">
        <v>16</v>
      </c>
      <c r="G4" s="104" t="s">
        <v>17</v>
      </c>
      <c r="H4" s="105">
        <v>26000000000</v>
      </c>
      <c r="I4" s="105">
        <v>64347840000</v>
      </c>
      <c r="J4" s="105">
        <v>37328529000</v>
      </c>
      <c r="K4" s="105">
        <v>27019311000</v>
      </c>
      <c r="L4" s="90">
        <v>0.57999999999999996</v>
      </c>
      <c r="M4" s="106" t="s">
        <v>18</v>
      </c>
      <c r="N4" s="83">
        <v>7.7970000000000001E-3</v>
      </c>
      <c r="O4" s="84">
        <v>128.26</v>
      </c>
      <c r="P4" s="89">
        <f>H4*N4</f>
        <v>202722000</v>
      </c>
      <c r="Q4" s="89">
        <f>I4*N4</f>
        <v>501720108.48000002</v>
      </c>
      <c r="R4" s="89">
        <f>J4*N4</f>
        <v>291050540.61299998</v>
      </c>
    </row>
    <row r="5" spans="1:18" ht="55.2" x14ac:dyDescent="0.25">
      <c r="A5" s="8">
        <v>2</v>
      </c>
      <c r="B5" s="9" t="s">
        <v>19</v>
      </c>
      <c r="C5" s="41" t="s">
        <v>20</v>
      </c>
      <c r="D5" s="41" t="s">
        <v>21</v>
      </c>
      <c r="E5" s="104" t="s">
        <v>22</v>
      </c>
      <c r="F5" s="104" t="s">
        <v>16</v>
      </c>
      <c r="G5" s="44"/>
      <c r="H5" s="105">
        <v>11987550000</v>
      </c>
      <c r="I5" s="105">
        <v>34092748000</v>
      </c>
      <c r="J5" s="105">
        <v>25967293000</v>
      </c>
      <c r="K5" s="105">
        <v>8125455000</v>
      </c>
      <c r="L5" s="90">
        <v>0.76</v>
      </c>
      <c r="M5" s="109" t="s">
        <v>23</v>
      </c>
      <c r="N5" s="83">
        <v>7.7970000000000001E-3</v>
      </c>
      <c r="O5" s="84">
        <v>128.26</v>
      </c>
      <c r="P5" s="89">
        <f t="shared" ref="P5:P13" si="0">H5*N5</f>
        <v>93466927.349999994</v>
      </c>
      <c r="Q5" s="89">
        <f t="shared" ref="Q5:Q13" si="1">I5*N5</f>
        <v>265821156.15600002</v>
      </c>
      <c r="R5" s="89">
        <f t="shared" ref="R5:R13" si="2">J5*N5</f>
        <v>202466983.521</v>
      </c>
    </row>
    <row r="6" spans="1:18" ht="55.2" x14ac:dyDescent="0.25">
      <c r="A6" s="8">
        <v>3</v>
      </c>
      <c r="B6" s="9" t="s">
        <v>24</v>
      </c>
      <c r="C6" s="9" t="s">
        <v>25</v>
      </c>
      <c r="D6" s="9" t="s">
        <v>21</v>
      </c>
      <c r="E6" s="9" t="s">
        <v>26</v>
      </c>
      <c r="F6" s="10" t="s">
        <v>27</v>
      </c>
      <c r="G6" s="12"/>
      <c r="H6" s="11">
        <v>15190821000</v>
      </c>
      <c r="I6" s="11">
        <v>8870451000</v>
      </c>
      <c r="J6" s="11">
        <v>8326411000</v>
      </c>
      <c r="K6" s="11">
        <v>544040000</v>
      </c>
      <c r="L6" s="107">
        <v>0.94</v>
      </c>
      <c r="M6" s="81" t="s">
        <v>28</v>
      </c>
      <c r="N6" s="83">
        <v>5.0260000000000001E-3</v>
      </c>
      <c r="O6" s="84">
        <v>198.97494800000001</v>
      </c>
      <c r="P6" s="89">
        <f t="shared" si="0"/>
        <v>76349066.346000001</v>
      </c>
      <c r="Q6" s="89">
        <f t="shared" si="1"/>
        <v>44582886.726000004</v>
      </c>
      <c r="R6" s="89">
        <f t="shared" si="2"/>
        <v>41848541.686000004</v>
      </c>
    </row>
    <row r="7" spans="1:18" ht="55.2" x14ac:dyDescent="0.25">
      <c r="A7" s="8">
        <v>4</v>
      </c>
      <c r="B7" s="9" t="s">
        <v>29</v>
      </c>
      <c r="C7" s="41" t="s">
        <v>30</v>
      </c>
      <c r="D7" s="110" t="s">
        <v>31</v>
      </c>
      <c r="E7" s="41" t="s">
        <v>15</v>
      </c>
      <c r="F7" s="104" t="s">
        <v>32</v>
      </c>
      <c r="G7" s="104" t="s">
        <v>33</v>
      </c>
      <c r="H7" s="105">
        <v>16161269000</v>
      </c>
      <c r="I7" s="105">
        <v>76838686000</v>
      </c>
      <c r="J7" s="105">
        <v>10118214000</v>
      </c>
      <c r="K7" s="105">
        <v>66720472000</v>
      </c>
      <c r="L7" s="90">
        <v>0.13</v>
      </c>
      <c r="M7" s="106" t="s">
        <v>18</v>
      </c>
      <c r="N7" s="83">
        <v>2.7780000000000001E-3</v>
      </c>
      <c r="O7" s="84">
        <v>359.99667899999997</v>
      </c>
      <c r="P7" s="89">
        <f t="shared" si="0"/>
        <v>44896005.281999998</v>
      </c>
      <c r="Q7" s="89">
        <f t="shared" si="1"/>
        <v>213457869.708</v>
      </c>
      <c r="R7" s="89">
        <f t="shared" si="2"/>
        <v>28108398.492000002</v>
      </c>
    </row>
    <row r="8" spans="1:18" ht="41.4" x14ac:dyDescent="0.25">
      <c r="A8" s="8">
        <v>5</v>
      </c>
      <c r="B8" s="9" t="s">
        <v>34</v>
      </c>
      <c r="C8" s="9" t="s">
        <v>35</v>
      </c>
      <c r="D8" s="13" t="s">
        <v>36</v>
      </c>
      <c r="E8" s="10" t="s">
        <v>37</v>
      </c>
      <c r="F8" s="10" t="s">
        <v>38</v>
      </c>
      <c r="G8" s="12"/>
      <c r="H8" s="11">
        <v>496609000</v>
      </c>
      <c r="I8" s="11">
        <v>496609000</v>
      </c>
      <c r="J8" s="11">
        <v>461594000</v>
      </c>
      <c r="K8" s="11">
        <v>35015000</v>
      </c>
      <c r="L8" s="107">
        <v>0.93</v>
      </c>
      <c r="M8" s="81" t="s">
        <v>28</v>
      </c>
      <c r="N8" s="83">
        <v>2.624E-3</v>
      </c>
      <c r="O8" s="84">
        <v>381.15291000000002</v>
      </c>
      <c r="P8" s="89">
        <f t="shared" si="0"/>
        <v>1303102.0160000001</v>
      </c>
      <c r="Q8" s="89">
        <f t="shared" si="1"/>
        <v>1303102.0160000001</v>
      </c>
      <c r="R8" s="89">
        <f t="shared" si="2"/>
        <v>1211222.656</v>
      </c>
    </row>
    <row r="9" spans="1:18" ht="41.4" x14ac:dyDescent="0.25">
      <c r="A9" s="8">
        <v>6</v>
      </c>
      <c r="B9" s="9" t="s">
        <v>39</v>
      </c>
      <c r="C9" s="9" t="s">
        <v>40</v>
      </c>
      <c r="D9" s="13" t="s">
        <v>41</v>
      </c>
      <c r="E9" s="10" t="s">
        <v>42</v>
      </c>
      <c r="F9" s="10" t="s">
        <v>43</v>
      </c>
      <c r="G9" s="12"/>
      <c r="H9" s="11">
        <v>6219732000</v>
      </c>
      <c r="I9" s="11">
        <v>6219732000</v>
      </c>
      <c r="J9" s="11">
        <v>894775000</v>
      </c>
      <c r="K9" s="11">
        <v>5324957000</v>
      </c>
      <c r="L9" s="107">
        <v>0.14000000000000001</v>
      </c>
      <c r="M9" s="80" t="s">
        <v>44</v>
      </c>
      <c r="N9" s="83">
        <v>6.515E-3</v>
      </c>
      <c r="O9" s="84">
        <v>153.50040000000001</v>
      </c>
      <c r="P9" s="89">
        <f t="shared" si="0"/>
        <v>40521553.979999997</v>
      </c>
      <c r="Q9" s="89">
        <f t="shared" si="1"/>
        <v>40521553.979999997</v>
      </c>
      <c r="R9" s="89">
        <f t="shared" si="2"/>
        <v>5829459.125</v>
      </c>
    </row>
    <row r="10" spans="1:18" ht="27.6" x14ac:dyDescent="0.25">
      <c r="A10" s="8">
        <v>7</v>
      </c>
      <c r="B10" s="14" t="s">
        <v>45</v>
      </c>
      <c r="C10" s="9" t="s">
        <v>46</v>
      </c>
      <c r="D10" s="10" t="s">
        <v>47</v>
      </c>
      <c r="E10" s="10" t="s">
        <v>48</v>
      </c>
      <c r="F10" s="10" t="s">
        <v>49</v>
      </c>
      <c r="G10" s="12"/>
      <c r="H10" s="11">
        <v>1335300000</v>
      </c>
      <c r="I10" s="11">
        <v>3944910000</v>
      </c>
      <c r="J10" s="11">
        <v>2368102000</v>
      </c>
      <c r="K10" s="11">
        <v>1576808000</v>
      </c>
      <c r="L10" s="107">
        <v>0.6</v>
      </c>
      <c r="M10" s="80" t="s">
        <v>44</v>
      </c>
      <c r="N10" s="83">
        <v>7.326E-3</v>
      </c>
      <c r="O10" s="84">
        <v>136.5</v>
      </c>
      <c r="P10" s="89">
        <f t="shared" si="0"/>
        <v>9782407.8000000007</v>
      </c>
      <c r="Q10" s="89">
        <f t="shared" si="1"/>
        <v>28900410.66</v>
      </c>
      <c r="R10" s="89">
        <f t="shared" si="2"/>
        <v>17348715.252</v>
      </c>
    </row>
    <row r="11" spans="1:18" ht="41.4" x14ac:dyDescent="0.25">
      <c r="A11" s="8">
        <v>8</v>
      </c>
      <c r="B11" s="9" t="s">
        <v>50</v>
      </c>
      <c r="C11" s="9" t="s">
        <v>51</v>
      </c>
      <c r="D11" s="9" t="s">
        <v>52</v>
      </c>
      <c r="E11" s="9" t="s">
        <v>15</v>
      </c>
      <c r="F11" s="13" t="s">
        <v>53</v>
      </c>
      <c r="G11" s="12"/>
      <c r="H11" s="15">
        <v>10329277000</v>
      </c>
      <c r="I11" s="15">
        <v>10329277000</v>
      </c>
      <c r="J11" s="15">
        <v>9933052000</v>
      </c>
      <c r="K11" s="15">
        <v>396225000</v>
      </c>
      <c r="L11" s="108">
        <v>0.96</v>
      </c>
      <c r="M11" s="81" t="s">
        <v>54</v>
      </c>
      <c r="N11" s="83">
        <v>7.4770000000000001E-3</v>
      </c>
      <c r="O11" s="84">
        <v>133.75</v>
      </c>
      <c r="P11" s="89">
        <f t="shared" si="0"/>
        <v>77232004.129000008</v>
      </c>
      <c r="Q11" s="89">
        <f t="shared" si="1"/>
        <v>77232004.129000008</v>
      </c>
      <c r="R11" s="89">
        <f t="shared" si="2"/>
        <v>74269429.804000005</v>
      </c>
    </row>
    <row r="12" spans="1:18" ht="55.2" x14ac:dyDescent="0.25">
      <c r="A12" s="8">
        <v>9</v>
      </c>
      <c r="B12" s="9" t="s">
        <v>55</v>
      </c>
      <c r="C12" s="9" t="s">
        <v>56</v>
      </c>
      <c r="D12" s="13" t="s">
        <v>57</v>
      </c>
      <c r="E12" s="9" t="s">
        <v>15</v>
      </c>
      <c r="F12" s="10" t="s">
        <v>58</v>
      </c>
      <c r="G12" s="12"/>
      <c r="H12" s="11">
        <v>11976453000</v>
      </c>
      <c r="I12" s="11">
        <v>14845129000</v>
      </c>
      <c r="J12" s="11">
        <v>13513732000</v>
      </c>
      <c r="K12" s="11">
        <v>1331397000</v>
      </c>
      <c r="L12" s="107">
        <v>0.91</v>
      </c>
      <c r="M12" s="81" t="s">
        <v>54</v>
      </c>
      <c r="N12" s="83">
        <v>6.7910000000000002E-3</v>
      </c>
      <c r="O12" s="84">
        <v>147.25</v>
      </c>
      <c r="P12" s="89">
        <f t="shared" si="0"/>
        <v>81332092.322999999</v>
      </c>
      <c r="Q12" s="89">
        <f t="shared" si="1"/>
        <v>100813271.039</v>
      </c>
      <c r="R12" s="89">
        <f t="shared" si="2"/>
        <v>91771754.012000009</v>
      </c>
    </row>
    <row r="13" spans="1:18" ht="41.4" x14ac:dyDescent="0.25">
      <c r="A13" s="17">
        <v>10</v>
      </c>
      <c r="B13" s="14" t="s">
        <v>59</v>
      </c>
      <c r="C13" s="9" t="s">
        <v>60</v>
      </c>
      <c r="D13" s="13" t="s">
        <v>61</v>
      </c>
      <c r="E13" s="14" t="s">
        <v>62</v>
      </c>
      <c r="F13" s="13" t="s">
        <v>63</v>
      </c>
      <c r="G13" s="12"/>
      <c r="H13" s="15">
        <v>5245064000</v>
      </c>
      <c r="I13" s="15">
        <v>7415572000</v>
      </c>
      <c r="J13" s="15">
        <v>6544383000</v>
      </c>
      <c r="K13" s="15">
        <v>871189000</v>
      </c>
      <c r="L13" s="108">
        <v>0.88</v>
      </c>
      <c r="M13" s="81" t="s">
        <v>54</v>
      </c>
      <c r="N13" s="83">
        <v>7.1310000000000002E-3</v>
      </c>
      <c r="O13" s="84">
        <v>129.35</v>
      </c>
      <c r="P13" s="89">
        <f t="shared" si="0"/>
        <v>37402551.384000003</v>
      </c>
      <c r="Q13" s="89">
        <f t="shared" si="1"/>
        <v>52880443.932000004</v>
      </c>
      <c r="R13" s="89">
        <f t="shared" si="2"/>
        <v>46667995.173</v>
      </c>
    </row>
    <row r="14" spans="1:18" ht="13.8" x14ac:dyDescent="0.25">
      <c r="A14" s="18"/>
      <c r="B14" s="5" t="s">
        <v>64</v>
      </c>
      <c r="C14" s="18"/>
      <c r="D14" s="18"/>
      <c r="E14" s="18"/>
      <c r="F14" s="18"/>
      <c r="G14" s="18"/>
      <c r="H14" s="19">
        <v>104942075000</v>
      </c>
      <c r="I14" s="19">
        <v>227400954000</v>
      </c>
      <c r="J14" s="19">
        <v>115456085000</v>
      </c>
      <c r="K14" s="19">
        <v>111944869000</v>
      </c>
      <c r="L14" s="16">
        <v>0.51</v>
      </c>
      <c r="M14" s="18"/>
    </row>
  </sheetData>
  <mergeCells count="2">
    <mergeCell ref="A1:M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4"/>
  <sheetViews>
    <sheetView topLeftCell="F1" workbookViewId="0">
      <selection activeCell="N8" sqref="N8"/>
    </sheetView>
  </sheetViews>
  <sheetFormatPr defaultColWidth="9.33203125" defaultRowHeight="18" x14ac:dyDescent="0.25"/>
  <cols>
    <col min="1" max="1" width="19.33203125" style="22" customWidth="1"/>
    <col min="2" max="2" width="8" style="22" customWidth="1"/>
    <col min="3" max="3" width="36" style="22" customWidth="1"/>
    <col min="4" max="4" width="21" style="22" hidden="1" customWidth="1"/>
    <col min="5" max="5" width="17.6640625" style="22" hidden="1" customWidth="1"/>
    <col min="6" max="6" width="12.109375" style="22" customWidth="1"/>
    <col min="7" max="7" width="19.6640625" style="22" customWidth="1"/>
    <col min="8" max="8" width="20.33203125" style="22" customWidth="1"/>
    <col min="9" max="9" width="19" style="22" customWidth="1"/>
    <col min="10" max="10" width="19.6640625" style="22" customWidth="1"/>
    <col min="11" max="11" width="14.44140625" style="37" customWidth="1"/>
    <col min="12" max="12" width="16" style="63" bestFit="1" customWidth="1"/>
    <col min="13" max="14" width="20.77734375" style="38" bestFit="1" customWidth="1"/>
    <col min="15" max="15" width="20.77734375" style="74" customWidth="1"/>
    <col min="16" max="16" width="20.77734375" style="38" bestFit="1" customWidth="1"/>
    <col min="17" max="17" width="21.77734375" style="38" customWidth="1"/>
    <col min="18" max="18" width="20.33203125" style="22" customWidth="1"/>
    <col min="19" max="19" width="22.44140625" style="22" customWidth="1"/>
    <col min="20" max="16384" width="9.33203125" style="22"/>
  </cols>
  <sheetData>
    <row r="1" spans="1:19" x14ac:dyDescent="0.25">
      <c r="A1" s="95" t="s">
        <v>65</v>
      </c>
      <c r="B1" s="95"/>
      <c r="C1" s="95"/>
      <c r="D1" s="95"/>
      <c r="E1" s="95"/>
      <c r="F1" s="95"/>
      <c r="G1" s="95"/>
      <c r="H1" s="95"/>
      <c r="I1" s="95"/>
      <c r="J1" s="95"/>
    </row>
    <row r="2" spans="1:19" x14ac:dyDescent="0.25">
      <c r="A2" s="96" t="s">
        <v>66</v>
      </c>
      <c r="B2" s="96"/>
      <c r="C2" s="96"/>
      <c r="D2" s="96"/>
      <c r="E2" s="96"/>
      <c r="F2" s="96"/>
      <c r="G2" s="96"/>
      <c r="H2" s="23"/>
      <c r="I2" s="23"/>
      <c r="J2" s="24">
        <v>45443</v>
      </c>
    </row>
    <row r="3" spans="1:19" s="36" customFormat="1" ht="60" customHeight="1" x14ac:dyDescent="0.25">
      <c r="A3" s="67" t="s">
        <v>67</v>
      </c>
      <c r="B3" s="67" t="s">
        <v>68</v>
      </c>
      <c r="C3" s="67" t="s">
        <v>69</v>
      </c>
      <c r="D3" s="67" t="s">
        <v>70</v>
      </c>
      <c r="E3" s="67" t="s">
        <v>71</v>
      </c>
      <c r="F3" s="67" t="s">
        <v>72</v>
      </c>
      <c r="G3" s="67" t="s">
        <v>73</v>
      </c>
      <c r="H3" s="67" t="s">
        <v>74</v>
      </c>
      <c r="I3" s="70" t="s">
        <v>104</v>
      </c>
      <c r="J3" s="71" t="s">
        <v>75</v>
      </c>
      <c r="K3" s="68" t="s">
        <v>105</v>
      </c>
      <c r="L3" s="69" t="s">
        <v>106</v>
      </c>
      <c r="M3" s="72" t="s">
        <v>108</v>
      </c>
      <c r="N3" s="73" t="s">
        <v>107</v>
      </c>
      <c r="O3" s="75" t="s">
        <v>111</v>
      </c>
      <c r="P3" s="76" t="s">
        <v>109</v>
      </c>
      <c r="Q3" s="76" t="s">
        <v>110</v>
      </c>
      <c r="R3" s="76" t="s">
        <v>112</v>
      </c>
      <c r="S3" s="76" t="s">
        <v>113</v>
      </c>
    </row>
    <row r="4" spans="1:19" ht="63" x14ac:dyDescent="0.25">
      <c r="A4" s="26" t="s">
        <v>76</v>
      </c>
      <c r="B4" s="39">
        <v>1</v>
      </c>
      <c r="C4" s="43" t="s">
        <v>77</v>
      </c>
      <c r="D4" s="41" t="s">
        <v>78</v>
      </c>
      <c r="E4" s="41" t="s">
        <v>15</v>
      </c>
      <c r="F4" s="39">
        <v>2005</v>
      </c>
      <c r="G4" s="39">
        <v>2010</v>
      </c>
      <c r="H4" s="42">
        <v>11970413593</v>
      </c>
      <c r="I4" s="42">
        <v>13030865474</v>
      </c>
      <c r="J4" s="50" t="s">
        <v>79</v>
      </c>
      <c r="K4" s="57">
        <v>7.5009999999999999E-3</v>
      </c>
      <c r="L4" s="65">
        <v>133.30000000000001</v>
      </c>
      <c r="M4" s="58">
        <f>H4*K4</f>
        <v>89790072.361093</v>
      </c>
      <c r="N4" s="58">
        <f>I4*K4</f>
        <v>97744521.920473993</v>
      </c>
      <c r="O4" s="91">
        <v>1.3368</v>
      </c>
      <c r="P4" s="38">
        <f>M4*O4</f>
        <v>120031368.73230912</v>
      </c>
      <c r="Q4" s="38">
        <f>N4*O4</f>
        <v>130664876.90328963</v>
      </c>
    </row>
    <row r="5" spans="1:19" ht="27.6" x14ac:dyDescent="0.25">
      <c r="A5" s="97" t="s">
        <v>80</v>
      </c>
      <c r="B5" s="27">
        <v>2</v>
      </c>
      <c r="C5" s="28" t="s">
        <v>81</v>
      </c>
      <c r="D5" s="9" t="s">
        <v>82</v>
      </c>
      <c r="E5" s="9" t="s">
        <v>15</v>
      </c>
      <c r="F5" s="27">
        <v>2004</v>
      </c>
      <c r="G5" s="27">
        <v>2010</v>
      </c>
      <c r="H5" s="29">
        <v>3574300488</v>
      </c>
      <c r="I5" s="29">
        <v>3918133083</v>
      </c>
      <c r="J5" s="51" t="s">
        <v>79</v>
      </c>
      <c r="K5" s="56">
        <v>7.528E-3</v>
      </c>
      <c r="L5" s="64">
        <v>132.84700000000001</v>
      </c>
      <c r="M5" s="59">
        <f t="shared" ref="M5:M13" si="0">H5*K5</f>
        <v>26907334.073663998</v>
      </c>
      <c r="N5" s="59">
        <f t="shared" ref="N5:N13" si="1">I5*K5</f>
        <v>29495705.848823998</v>
      </c>
      <c r="O5" s="92"/>
    </row>
    <row r="6" spans="1:19" ht="55.2" x14ac:dyDescent="0.25">
      <c r="A6" s="98"/>
      <c r="B6" s="39">
        <v>3</v>
      </c>
      <c r="C6" s="43" t="s">
        <v>83</v>
      </c>
      <c r="D6" s="44" t="s">
        <v>84</v>
      </c>
      <c r="E6" s="41" t="s">
        <v>15</v>
      </c>
      <c r="F6" s="39">
        <v>2007</v>
      </c>
      <c r="G6" s="39">
        <v>2010</v>
      </c>
      <c r="H6" s="42">
        <v>10385769781</v>
      </c>
      <c r="I6" s="42">
        <v>13916931507</v>
      </c>
      <c r="J6" s="50" t="s">
        <v>79</v>
      </c>
      <c r="K6" s="57">
        <v>7.8840000000000004E-3</v>
      </c>
      <c r="L6" s="65">
        <v>126.845</v>
      </c>
      <c r="M6" s="58">
        <f t="shared" si="0"/>
        <v>81881408.953404009</v>
      </c>
      <c r="N6" s="58">
        <f t="shared" si="1"/>
        <v>109721088.00118801</v>
      </c>
      <c r="O6" s="91"/>
    </row>
    <row r="7" spans="1:19" ht="41.4" x14ac:dyDescent="0.25">
      <c r="A7" s="98"/>
      <c r="B7" s="27">
        <v>4</v>
      </c>
      <c r="C7" s="28" t="s">
        <v>85</v>
      </c>
      <c r="D7" s="9" t="s">
        <v>61</v>
      </c>
      <c r="E7" s="9" t="s">
        <v>62</v>
      </c>
      <c r="F7" s="27">
        <v>2003</v>
      </c>
      <c r="G7" s="27">
        <v>2013</v>
      </c>
      <c r="H7" s="29">
        <v>5245063676</v>
      </c>
      <c r="I7" s="29">
        <v>7415571827</v>
      </c>
      <c r="J7" s="52" t="s">
        <v>86</v>
      </c>
      <c r="K7" s="60">
        <v>7.7429999999999999E-3</v>
      </c>
      <c r="L7" s="64">
        <v>129.15</v>
      </c>
      <c r="M7" s="59">
        <f t="shared" si="0"/>
        <v>40612528.043268003</v>
      </c>
      <c r="N7" s="59">
        <f t="shared" si="1"/>
        <v>57418772.656461</v>
      </c>
      <c r="O7" s="92"/>
    </row>
    <row r="8" spans="1:19" ht="41.4" x14ac:dyDescent="0.25">
      <c r="A8" s="99"/>
      <c r="B8" s="46">
        <v>5</v>
      </c>
      <c r="C8" s="47" t="s">
        <v>87</v>
      </c>
      <c r="D8" s="48" t="s">
        <v>61</v>
      </c>
      <c r="E8" s="48" t="s">
        <v>88</v>
      </c>
      <c r="F8" s="46">
        <v>2006</v>
      </c>
      <c r="G8" s="46">
        <v>2023</v>
      </c>
      <c r="H8" s="49">
        <v>15190821000</v>
      </c>
      <c r="I8" s="49">
        <v>8870451000</v>
      </c>
      <c r="J8" s="53" t="s">
        <v>86</v>
      </c>
      <c r="K8" s="61">
        <v>7.8270000000000006E-3</v>
      </c>
      <c r="L8" s="66">
        <v>127.75</v>
      </c>
      <c r="M8" s="62">
        <f t="shared" si="0"/>
        <v>118898555.96700001</v>
      </c>
      <c r="N8" s="59">
        <f t="shared" si="1"/>
        <v>69429019.976999998</v>
      </c>
      <c r="O8" s="92"/>
    </row>
    <row r="9" spans="1:19" ht="36" x14ac:dyDescent="0.25">
      <c r="A9" s="100" t="s">
        <v>89</v>
      </c>
      <c r="B9" s="30">
        <v>6</v>
      </c>
      <c r="C9" s="31" t="s">
        <v>90</v>
      </c>
      <c r="D9" s="9" t="s">
        <v>91</v>
      </c>
      <c r="E9" s="9" t="s">
        <v>92</v>
      </c>
      <c r="F9" s="30">
        <v>2006</v>
      </c>
      <c r="G9" s="30">
        <v>2010</v>
      </c>
      <c r="H9" s="32">
        <v>2650000000</v>
      </c>
      <c r="I9" s="32">
        <v>3228575454</v>
      </c>
      <c r="J9" s="52" t="s">
        <v>79</v>
      </c>
      <c r="K9" s="56">
        <v>7.8270000000000006E-3</v>
      </c>
      <c r="L9" s="64">
        <v>127.75</v>
      </c>
      <c r="M9" s="59">
        <f t="shared" si="0"/>
        <v>20741550</v>
      </c>
      <c r="N9" s="59">
        <f t="shared" si="1"/>
        <v>25270060.078458004</v>
      </c>
      <c r="O9" s="92"/>
    </row>
    <row r="10" spans="1:19" ht="36" x14ac:dyDescent="0.25">
      <c r="A10" s="101"/>
      <c r="B10" s="30">
        <v>7</v>
      </c>
      <c r="C10" s="31" t="s">
        <v>93</v>
      </c>
      <c r="D10" s="9" t="s">
        <v>94</v>
      </c>
      <c r="E10" s="9" t="s">
        <v>92</v>
      </c>
      <c r="F10" s="30">
        <v>2005</v>
      </c>
      <c r="G10" s="30">
        <v>2008</v>
      </c>
      <c r="H10" s="32">
        <v>2600000000</v>
      </c>
      <c r="I10" s="32">
        <v>2600000000</v>
      </c>
      <c r="J10" s="52" t="s">
        <v>79</v>
      </c>
      <c r="K10" s="56">
        <v>7.5009999999999999E-3</v>
      </c>
      <c r="L10" s="64">
        <v>133.30000000000001</v>
      </c>
      <c r="M10" s="59">
        <f t="shared" si="0"/>
        <v>19502600</v>
      </c>
      <c r="N10" s="59">
        <f t="shared" si="1"/>
        <v>19502600</v>
      </c>
      <c r="O10" s="92"/>
    </row>
    <row r="11" spans="1:19" x14ac:dyDescent="0.25">
      <c r="A11" s="101"/>
      <c r="B11" s="30">
        <v>8</v>
      </c>
      <c r="C11" s="31" t="s">
        <v>95</v>
      </c>
      <c r="D11" s="9" t="s">
        <v>96</v>
      </c>
      <c r="E11" s="9" t="s">
        <v>97</v>
      </c>
      <c r="F11" s="30">
        <v>2005</v>
      </c>
      <c r="G11" s="30">
        <v>2009</v>
      </c>
      <c r="H11" s="32">
        <v>4936151037</v>
      </c>
      <c r="I11" s="32">
        <v>4936151037</v>
      </c>
      <c r="J11" s="52" t="s">
        <v>79</v>
      </c>
      <c r="K11" s="56">
        <v>7.5009999999999999E-3</v>
      </c>
      <c r="L11" s="64">
        <v>133.30000000000001</v>
      </c>
      <c r="M11" s="59">
        <f t="shared" si="0"/>
        <v>37026068.928536996</v>
      </c>
      <c r="N11" s="59">
        <f t="shared" si="1"/>
        <v>37026068.928536996</v>
      </c>
      <c r="O11" s="92"/>
    </row>
    <row r="12" spans="1:19" ht="41.4" x14ac:dyDescent="0.25">
      <c r="A12" s="101"/>
      <c r="B12" s="39">
        <v>9</v>
      </c>
      <c r="C12" s="40" t="s">
        <v>98</v>
      </c>
      <c r="D12" s="41" t="s">
        <v>57</v>
      </c>
      <c r="E12" s="41" t="s">
        <v>99</v>
      </c>
      <c r="F12" s="39">
        <v>2009</v>
      </c>
      <c r="G12" s="39">
        <v>2014</v>
      </c>
      <c r="H12" s="42">
        <v>11976453324</v>
      </c>
      <c r="I12" s="42">
        <v>14845128288</v>
      </c>
      <c r="J12" s="54" t="s">
        <v>86</v>
      </c>
      <c r="K12" s="57">
        <v>6.7730000000000004E-3</v>
      </c>
      <c r="L12" s="65">
        <v>147.64999399999999</v>
      </c>
      <c r="M12" s="58">
        <f t="shared" si="0"/>
        <v>81116518.363452002</v>
      </c>
      <c r="N12" s="58">
        <f t="shared" si="1"/>
        <v>100546053.89462401</v>
      </c>
      <c r="O12" s="91"/>
    </row>
    <row r="13" spans="1:19" ht="36" x14ac:dyDescent="0.25">
      <c r="A13" s="102"/>
      <c r="B13" s="39">
        <v>10</v>
      </c>
      <c r="C13" s="40" t="s">
        <v>100</v>
      </c>
      <c r="D13" s="45" t="s">
        <v>101</v>
      </c>
      <c r="E13" s="41" t="s">
        <v>102</v>
      </c>
      <c r="F13" s="39">
        <v>2010</v>
      </c>
      <c r="G13" s="39">
        <v>2019</v>
      </c>
      <c r="H13" s="42">
        <v>10809064515</v>
      </c>
      <c r="I13" s="42">
        <v>14249429652</v>
      </c>
      <c r="J13" s="50" t="s">
        <v>79</v>
      </c>
      <c r="K13" s="57">
        <v>6.6800000000000002E-3</v>
      </c>
      <c r="L13" s="65">
        <v>149.699997</v>
      </c>
      <c r="M13" s="58">
        <f t="shared" si="0"/>
        <v>72204550.960199997</v>
      </c>
      <c r="N13" s="58">
        <f t="shared" si="1"/>
        <v>95186190.07536</v>
      </c>
      <c r="O13" s="91"/>
    </row>
    <row r="14" spans="1:19" x14ac:dyDescent="0.25">
      <c r="A14" s="33"/>
      <c r="B14" s="33"/>
      <c r="C14" s="25" t="s">
        <v>103</v>
      </c>
      <c r="D14" s="33"/>
      <c r="E14" s="33"/>
      <c r="F14" s="33"/>
      <c r="G14" s="33"/>
      <c r="H14" s="34">
        <v>79338037414</v>
      </c>
      <c r="I14" s="34">
        <v>87011237322</v>
      </c>
      <c r="J14" s="55"/>
      <c r="K14" s="56"/>
      <c r="L14" s="64"/>
      <c r="M14" s="59"/>
      <c r="N14" s="59"/>
      <c r="O14" s="92"/>
    </row>
  </sheetData>
  <mergeCells count="4">
    <mergeCell ref="A1:J1"/>
    <mergeCell ref="A2:G2"/>
    <mergeCell ref="A5:A8"/>
    <mergeCell ref="A9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ongoing</vt:lpstr>
      <vt:lpstr>completed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Urtente</dc:creator>
  <cp:lastModifiedBy>Lezgan Akkum</cp:lastModifiedBy>
  <dcterms:created xsi:type="dcterms:W3CDTF">2024-11-01T07:32:44Z</dcterms:created>
  <dcterms:modified xsi:type="dcterms:W3CDTF">2025-10-26T18:53:11Z</dcterms:modified>
</cp:coreProperties>
</file>